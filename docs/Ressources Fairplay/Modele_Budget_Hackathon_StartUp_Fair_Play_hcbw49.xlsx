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Financière" sheetId="1" state="visible" r:id="rId1"/>
    <sheet xmlns:r="http://schemas.openxmlformats.org/officeDocument/2006/relationships" name="Synthèse Récapitul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&quot; FCFA&quot;"/>
    <numFmt numFmtId="166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i val="1"/>
      <color rgb="007F6000"/>
      <sz val="10"/>
    </font>
    <font>
      <name val="Calibri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  <fill>
      <patternFill patternType="solid">
        <fgColor rgb="008EA9DB"/>
        <bgColor rgb="008EA9DB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165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right" vertical="center"/>
    </xf>
    <xf numFmtId="3" fontId="4" fillId="5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right" vertical="center"/>
    </xf>
    <xf numFmtId="0" fontId="0" fillId="5" borderId="2" pivotButton="0" quotePrefix="0" xfId="0"/>
    <xf numFmtId="165" fontId="3" fillId="5" borderId="2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2" pivotButton="0" quotePrefix="0" xfId="0"/>
    <xf numFmtId="0" fontId="4" fillId="5" borderId="2" pivotButton="0" quotePrefix="0" xfId="0"/>
    <xf numFmtId="0" fontId="7" fillId="6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2" fillId="7" borderId="3" applyAlignment="1" pivotButton="0" quotePrefix="0" xfId="0">
      <alignment horizontal="right" vertical="center"/>
    </xf>
    <xf numFmtId="0" fontId="0" fillId="7" borderId="3" pivotButton="0" quotePrefix="0" xfId="0"/>
    <xf numFmtId="165" fontId="2" fillId="7" borderId="3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3" fillId="5" borderId="2" pivotButton="0" quotePrefix="0" xfId="0"/>
    <xf numFmtId="166" fontId="4" fillId="5" borderId="2" applyAlignment="1" pivotButton="0" quotePrefix="0" xfId="0">
      <alignment horizontal="right" vertical="center"/>
    </xf>
    <xf numFmtId="0" fontId="8" fillId="7" borderId="3" pivotButton="0" quotePrefix="0" xfId="0"/>
    <xf numFmtId="0" fontId="4" fillId="7" borderId="3" pivotButton="0" quotePrefix="0" xfId="0"/>
    <xf numFmtId="165" fontId="8" fillId="7" borderId="3" applyAlignment="1" pivotButton="0" quotePrefix="0" xfId="0">
      <alignment horizontal="right" vertical="center"/>
    </xf>
    <xf numFmtId="166" fontId="8" fillId="7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du Budget de l'Offre Financière</a:t>
            </a:r>
          </a:p>
        </rich>
      </tx>
    </title>
    <plotArea>
      <pieChart>
        <varyColors val="1"/>
        <ser>
          <idx val="0"/>
          <order val="0"/>
          <tx>
            <strRef>
              <f>'Synthèse Récapitulative'!C3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'Synthèse Récapitulative'!$A$4:$A$7</f>
            </numRef>
          </cat>
          <val>
            <numRef>
              <f>'Synthèse Récapitulative'!$C$4:$C$7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22" customWidth="1" min="3" max="3"/>
    <col width="20" customWidth="1" min="4" max="4"/>
    <col width="25" customWidth="1" min="5" max="5"/>
  </cols>
  <sheetData>
    <row r="1" ht="35" customHeight="1">
      <c r="A1" s="1" t="inlineStr">
        <is>
          <t>START UP FAIR PLAY - HACKATHON 2026</t>
        </is>
      </c>
    </row>
    <row r="2" ht="22" customHeight="1">
      <c r="A2" s="2" t="inlineStr">
        <is>
          <t>Modèle d'Offre Financière pour les Équipes Candidates</t>
        </is>
      </c>
    </row>
    <row r="3"/>
    <row r="4" ht="20" customHeight="1">
      <c r="A4" s="3" t="inlineStr">
        <is>
          <t>Nom du Projet / Équipe :</t>
        </is>
      </c>
      <c r="B4" s="4" t="inlineStr">
        <is>
          <t>[Saisir le nom de l'équipe]</t>
        </is>
      </c>
      <c r="D4" s="3" t="inlineStr">
        <is>
          <t>Date de soumission :</t>
        </is>
      </c>
      <c r="E4" s="5">
        <f>TODAY()</f>
        <v/>
      </c>
    </row>
    <row r="5" ht="20" customHeight="1">
      <c r="A5" s="3" t="inlineStr">
        <is>
          <t>Nom du Chef d'Équipe :</t>
        </is>
      </c>
      <c r="B5" s="4" t="inlineStr">
        <is>
          <t>[Saisir le nom du responsable]</t>
        </is>
      </c>
    </row>
    <row r="6" ht="20" customHeight="1">
      <c r="A6" s="3" t="inlineStr">
        <is>
          <t>Contact (Email / Tel) :</t>
        </is>
      </c>
      <c r="B6" s="4" t="inlineStr">
        <is>
          <t>[Saisir les coordonnées]</t>
        </is>
      </c>
    </row>
    <row r="7"/>
    <row r="8" ht="24" customHeight="1">
      <c r="A8" s="6" t="inlineStr">
        <is>
          <t>1. VALORISATION DU TEMPS DE TRAVAIL (TAUX HORAIRE / HOMME-JOUR)</t>
        </is>
      </c>
    </row>
    <row r="9" ht="25" customHeight="1">
      <c r="A9" s="7" t="inlineStr">
        <is>
          <t>Poste / Rôle dans l'Équipe</t>
        </is>
      </c>
      <c r="B9" s="7" t="inlineStr">
        <is>
          <t>Nom de l'Intervenant</t>
        </is>
      </c>
      <c r="C9" s="7" t="inlineStr">
        <is>
          <t>Taux Horaire (FCFA)</t>
        </is>
      </c>
      <c r="D9" s="7" t="inlineStr">
        <is>
          <t>Heures Prévues (h)</t>
        </is>
      </c>
      <c r="E9" s="7" t="inlineStr">
        <is>
          <t>Montant Total (FCFA)</t>
        </is>
      </c>
    </row>
    <row r="10" ht="20" customHeight="1">
      <c r="A10" s="8" t="inlineStr">
        <is>
          <t>Lead Developer / Ingénieur Tech</t>
        </is>
      </c>
      <c r="B10" s="8" t="inlineStr">
        <is>
          <t>Jean DUPONT</t>
        </is>
      </c>
      <c r="C10" s="9" t="n">
        <v>5000</v>
      </c>
      <c r="D10" s="10" t="n">
        <v>40</v>
      </c>
      <c r="E10" s="9">
        <f>C10*D10</f>
        <v/>
      </c>
    </row>
    <row r="11" ht="20" customHeight="1">
      <c r="A11" s="11" t="inlineStr">
        <is>
          <t>UX/UI Designer / Concepteur</t>
        </is>
      </c>
      <c r="B11" s="11" t="inlineStr">
        <is>
          <t>Amina KONE</t>
        </is>
      </c>
      <c r="C11" s="12" t="n">
        <v>4500</v>
      </c>
      <c r="D11" s="13" t="n">
        <v>30</v>
      </c>
      <c r="E11" s="12">
        <f>C11*D11</f>
        <v/>
      </c>
    </row>
    <row r="12" ht="20" customHeight="1">
      <c r="A12" s="8" t="inlineStr">
        <is>
          <t>Expert Métier / Spécialiste</t>
        </is>
      </c>
      <c r="B12" s="8" t="inlineStr">
        <is>
          <t>Kofi MENSAH</t>
        </is>
      </c>
      <c r="C12" s="9" t="n">
        <v>5000</v>
      </c>
      <c r="D12" s="10" t="n">
        <v>20</v>
      </c>
      <c r="E12" s="9">
        <f>C12*D12</f>
        <v/>
      </c>
    </row>
    <row r="13" ht="20" customHeight="1">
      <c r="A13" s="11" t="inlineStr">
        <is>
          <t>Chef de Projet / Facilitateur</t>
        </is>
      </c>
      <c r="B13" s="11" t="inlineStr">
        <is>
          <t>Sarah GOMEZ</t>
        </is>
      </c>
      <c r="C13" s="12" t="n">
        <v>4000</v>
      </c>
      <c r="D13" s="13" t="n">
        <v>25</v>
      </c>
      <c r="E13" s="12">
        <f>C13*D13</f>
        <v/>
      </c>
    </row>
    <row r="14" ht="22" customHeight="1">
      <c r="A14" s="14" t="inlineStr">
        <is>
          <t>Sous-total 1 : Temps de Travail</t>
        </is>
      </c>
      <c r="B14" s="15" t="n"/>
      <c r="C14" s="15" t="n"/>
      <c r="D14" s="15" t="n"/>
      <c r="E14" s="16">
        <f>SUM(E10:E13)</f>
        <v/>
      </c>
    </row>
    <row r="15"/>
    <row r="16" ht="24" customHeight="1">
      <c r="A16" s="6" t="inlineStr">
        <is>
          <t>2. CESSION DE DROITS DE PROPRIÉTÉ INTELLECTUELLE (PI)</t>
        </is>
      </c>
    </row>
    <row r="17" ht="25" customHeight="1">
      <c r="A17" s="7" t="inlineStr">
        <is>
          <t>Désignation des Livrables PI</t>
        </is>
      </c>
      <c r="B17" s="7" t="inlineStr">
        <is>
          <t>Description &amp; Portée du Transfert</t>
        </is>
      </c>
      <c r="C17" s="17" t="n"/>
      <c r="D17" s="17" t="n"/>
      <c r="E17" s="7" t="inlineStr">
        <is>
          <t>Montant Forfaitaire (FCFA)</t>
        </is>
      </c>
    </row>
    <row r="18" ht="20" customHeight="1">
      <c r="A18" s="8" t="inlineStr">
        <is>
          <t>Droits d'Auteur &amp; Code Source</t>
        </is>
      </c>
      <c r="B18" s="8" t="inlineStr">
        <is>
          <t>Cession non-exclusive des algorithmes et du code source développés</t>
        </is>
      </c>
      <c r="C18" s="18" t="n"/>
      <c r="D18" s="18" t="n"/>
      <c r="E18" s="9" t="n">
        <v>150000</v>
      </c>
    </row>
    <row r="19" ht="20" customHeight="1">
      <c r="A19" s="11" t="inlineStr">
        <is>
          <t>Plans, CAD &amp; Modélisation 3D</t>
        </is>
      </c>
      <c r="B19" s="11" t="inlineStr">
        <is>
          <t>Cession des fichiers de conception et plans d'architecture technique</t>
        </is>
      </c>
      <c r="C19" s="19" t="n"/>
      <c r="D19" s="19" t="n"/>
      <c r="E19" s="12" t="n">
        <v>75000</v>
      </c>
    </row>
    <row r="20" ht="20" customHeight="1">
      <c r="A20" s="8" t="inlineStr">
        <is>
          <t>Droit d'Exploitation du Concept</t>
        </is>
      </c>
      <c r="B20" s="8" t="inlineStr">
        <is>
          <t>Transfert des droits d'utilisation de la marque et du concept original</t>
        </is>
      </c>
      <c r="C20" s="18" t="n"/>
      <c r="D20" s="18" t="n"/>
      <c r="E20" s="9" t="n">
        <v>100000</v>
      </c>
    </row>
    <row r="21" ht="22" customHeight="1">
      <c r="A21" s="14" t="inlineStr">
        <is>
          <t>Sous-total 2 : Propriété Intellectuelle</t>
        </is>
      </c>
      <c r="B21" s="15" t="n"/>
      <c r="C21" s="15" t="n"/>
      <c r="D21" s="15" t="n"/>
      <c r="E21" s="16">
        <f>SUM(E18:E20)</f>
        <v/>
      </c>
    </row>
    <row r="22"/>
    <row r="23" ht="24" customHeight="1">
      <c r="A23" s="6" t="inlineStr">
        <is>
          <t>3. SERVICES TIERS &amp; LOGICIELS (HORS MATÉRIEL PHYSIQUE)</t>
        </is>
      </c>
    </row>
    <row r="24" ht="25" customHeight="1">
      <c r="A24" s="7" t="inlineStr">
        <is>
          <t>Désignation du Service / Outil</t>
        </is>
      </c>
      <c r="B24" s="7" t="inlineStr">
        <is>
          <t>Utilité pour le Prototype</t>
        </is>
      </c>
      <c r="C24" s="17" t="n"/>
      <c r="D24" s="17" t="n"/>
      <c r="E24" s="7" t="inlineStr">
        <is>
          <t>Montant Estimé (FCFA)</t>
        </is>
      </c>
    </row>
    <row r="25" ht="20" customHeight="1">
      <c r="A25" s="8" t="inlineStr">
        <is>
          <t>Abonnements API &amp; Services IA</t>
        </is>
      </c>
      <c r="B25" s="8" t="inlineStr">
        <is>
          <t>Clés d'API OpenAI / Twilio / Gateway SMS pour démo</t>
        </is>
      </c>
      <c r="C25" s="18" t="n"/>
      <c r="D25" s="18" t="n"/>
      <c r="E25" s="9" t="n">
        <v>35000</v>
      </c>
    </row>
    <row r="26" ht="20" customHeight="1">
      <c r="A26" s="11" t="inlineStr">
        <is>
          <t>Hébergement &amp; Serveurs Cloud</t>
        </is>
      </c>
      <c r="B26" s="11" t="inlineStr">
        <is>
          <t>Instances temporaires AWS/GCP &amp; base de données Cloud</t>
        </is>
      </c>
      <c r="C26" s="19" t="n"/>
      <c r="D26" s="19" t="n"/>
      <c r="E26" s="12" t="n">
        <v>25000</v>
      </c>
    </row>
    <row r="27" ht="20" customHeight="1">
      <c r="A27" s="8" t="inlineStr">
        <is>
          <t>Assets Graphiques &amp; UI Kits</t>
        </is>
      </c>
      <c r="B27" s="8" t="inlineStr">
        <is>
          <t>Achat de composants UI, icônes et modèles 3D pour démo</t>
        </is>
      </c>
      <c r="C27" s="18" t="n"/>
      <c r="D27" s="18" t="n"/>
      <c r="E27" s="9" t="n">
        <v>15000</v>
      </c>
    </row>
    <row r="28" ht="22" customHeight="1">
      <c r="A28" s="14" t="inlineStr">
        <is>
          <t>Sous-total 3 : Services Tiers &amp; Logiciels</t>
        </is>
      </c>
      <c r="B28" s="15" t="n"/>
      <c r="C28" s="15" t="n"/>
      <c r="D28" s="15" t="n"/>
      <c r="E28" s="16">
        <f>SUM(E25:E27)</f>
        <v/>
      </c>
    </row>
    <row r="29"/>
    <row r="30" ht="24" customHeight="1">
      <c r="A30" s="6" t="inlineStr">
        <is>
          <t>4. ÉQUIPEMENTS &amp; MATÉRIEL DE PROTOTYPAGE (PRISE EN CHARGE ORGANISATION)</t>
        </is>
      </c>
    </row>
    <row r="31" ht="22" customHeight="1">
      <c r="A31" s="20" t="inlineStr">
        <is>
          <t>💡 REMARQUE IMPORTANTE :
Conformément au règlement du Hackathon Start Up Fair Play, l'ensemble des équipements, composants électroniques, outils de fabrication et consommables physiques pour le prototypage sont PRIS EN CHARGE À 100% par l'organisation. Le montant imputé à l'équipe candidats est donc fixé à 0 FCFA.</t>
        </is>
      </c>
      <c r="B31" s="21" t="n"/>
      <c r="C31" s="21" t="n"/>
      <c r="D31" s="21" t="n"/>
      <c r="E31" s="21" t="n"/>
    </row>
    <row r="32" ht="22" customHeight="1">
      <c r="A32" s="21" t="n"/>
      <c r="B32" s="21" t="n"/>
      <c r="C32" s="21" t="n"/>
      <c r="D32" s="21" t="n"/>
      <c r="E32" s="21" t="n"/>
    </row>
    <row r="33" ht="22" customHeight="1">
      <c r="A33" s="14" t="inlineStr">
        <is>
          <t>Sous-total 4 : Équipements et Matériel Physiques</t>
        </is>
      </c>
      <c r="B33" s="15" t="n"/>
      <c r="C33" s="15" t="n"/>
      <c r="D33" s="15" t="n"/>
      <c r="E33" s="16" t="n">
        <v>0</v>
      </c>
    </row>
    <row r="34"/>
    <row r="35" ht="28" customHeight="1">
      <c r="A35" s="22" t="inlineStr">
        <is>
          <t>MONTANT TOTAL DE L'OFFRE FINANCIÈRE (FCFA)</t>
        </is>
      </c>
      <c r="B35" s="23" t="n"/>
      <c r="C35" s="23" t="n"/>
      <c r="D35" s="23" t="n"/>
      <c r="E35" s="24">
        <f>E14+E21+E28+E33</f>
        <v/>
      </c>
    </row>
  </sheetData>
  <mergeCells count="20">
    <mergeCell ref="A30:E30"/>
    <mergeCell ref="A35:D35"/>
    <mergeCell ref="B17:D17"/>
    <mergeCell ref="A1:E1"/>
    <mergeCell ref="A28:D28"/>
    <mergeCell ref="B19:D19"/>
    <mergeCell ref="A16:E16"/>
    <mergeCell ref="B24:D24"/>
    <mergeCell ref="B20:D20"/>
    <mergeCell ref="A2:E2"/>
    <mergeCell ref="B26:D26"/>
    <mergeCell ref="A31:E32"/>
    <mergeCell ref="A23:E23"/>
    <mergeCell ref="A8:E8"/>
    <mergeCell ref="B25:D25"/>
    <mergeCell ref="A21:D21"/>
    <mergeCell ref="B18:D18"/>
    <mergeCell ref="B27:D27"/>
    <mergeCell ref="A33:D3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2" customWidth="1" min="3" max="3"/>
    <col width="15" customWidth="1" min="4" max="4"/>
  </cols>
  <sheetData>
    <row r="1" ht="35" customHeight="1">
      <c r="A1" s="1" t="inlineStr">
        <is>
          <t>SYNTHÈSE DE L'OFFRE FINANCIÈRE</t>
        </is>
      </c>
    </row>
    <row r="2"/>
    <row r="3" ht="25" customHeight="1">
      <c r="A3" s="25" t="inlineStr">
        <is>
          <t>Rubrique Budgetaire</t>
        </is>
      </c>
      <c r="B3" s="25" t="inlineStr">
        <is>
          <t>Description Synthétique</t>
        </is>
      </c>
      <c r="C3" s="25" t="inlineStr">
        <is>
          <t>Montant (FCFA)</t>
        </is>
      </c>
      <c r="D3" s="25" t="inlineStr">
        <is>
          <t>% du Total</t>
        </is>
      </c>
    </row>
    <row r="4" ht="22" customHeight="1">
      <c r="A4" s="26" t="inlineStr">
        <is>
          <t>1. Temps de Travail</t>
        </is>
      </c>
      <c r="B4" s="18" t="inlineStr">
        <is>
          <t>Valorisation du temps de développement, design et gestion</t>
        </is>
      </c>
      <c r="C4" s="27">
        <f>'Offre Financière'!E14</f>
        <v/>
      </c>
      <c r="D4" s="28">
        <f>C4/C8</f>
        <v/>
      </c>
    </row>
    <row r="5" ht="22" customHeight="1">
      <c r="A5" s="29" t="inlineStr">
        <is>
          <t>2. Propriété Intellectuelle</t>
        </is>
      </c>
      <c r="B5" s="19" t="inlineStr">
        <is>
          <t>Cession des droits sur les algorithmes, codes et plans</t>
        </is>
      </c>
      <c r="C5" s="16">
        <f>'Offre Financière'!E21</f>
        <v/>
      </c>
      <c r="D5" s="30">
        <f>C5/C8</f>
        <v/>
      </c>
    </row>
    <row r="6" ht="22" customHeight="1">
      <c r="A6" s="26" t="inlineStr">
        <is>
          <t>3. Services Tiers &amp; Cloud</t>
        </is>
      </c>
      <c r="B6" s="18" t="inlineStr">
        <is>
          <t>Licences API, souscriptions cloud et outils logiciels</t>
        </is>
      </c>
      <c r="C6" s="27">
        <f>'Offre Financière'!E28</f>
        <v/>
      </c>
      <c r="D6" s="28">
        <f>C6/C8</f>
        <v/>
      </c>
    </row>
    <row r="7" ht="22" customHeight="1">
      <c r="A7" s="29" t="inlineStr">
        <is>
          <t>4. Équipements Prototypage</t>
        </is>
      </c>
      <c r="B7" s="19" t="inlineStr">
        <is>
          <t>Matériel physique pris en charge par Start Up Fair Play</t>
        </is>
      </c>
      <c r="C7" s="16">
        <f>'Offre Financière'!E33</f>
        <v/>
      </c>
      <c r="D7" s="30">
        <f>C7/C8</f>
        <v/>
      </c>
    </row>
    <row r="8" ht="25" customHeight="1">
      <c r="A8" s="31" t="inlineStr">
        <is>
          <t>TOTAL GÉNÉRAL</t>
        </is>
      </c>
      <c r="B8" s="32" t="inlineStr">
        <is>
          <t>Total global de l'offre financière demandée</t>
        </is>
      </c>
      <c r="C8" s="33">
        <f>SUM(C4:C7)</f>
        <v/>
      </c>
      <c r="D8" s="34">
        <f>SUM(D4:D7)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2026-08-11T13:44:03Z</dcterms:created>
  <dcterms:modified xmlns:dcterms="http://purl.org/dc/terms/" xmlns:xsi="http://www.w3.org/2001/XMLSchema-instance" xsi:type="dcterms:W3CDTF">2026-08-11T13:44:03Z</dcterms:modified>
</cp:coreProperties>
</file>